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Y2026 Plan" sheetId="2" state="visible" r:id="rId2"/>
    <sheet name="FY2027 Plan" sheetId="3" state="visible" r:id="rId3"/>
    <sheet name="FY2028 Outlook" sheetId="4" state="visible" r:id="rId4"/>
    <sheet name="Compensation" sheetId="5" state="visible" r:id="rId5"/>
    <sheet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workforce plan</t>
        </is>
      </c>
    </row>
    <row r="2">
      <c r="A2" t="inlineStr">
        <is>
          <t>Planning years</t>
        </is>
      </c>
      <c r="B2" t="inlineStr">
        <is>
          <t>FY2026 actual plan, FY2027 budget and FY2028 outlook</t>
        </is>
      </c>
    </row>
    <row r="3">
      <c r="A3" t="inlineStr">
        <is>
          <t>Measure</t>
        </is>
      </c>
      <c r="B3" t="inlineStr">
        <is>
          <t>Headcount at year end includes planned hires and expected departures.</t>
        </is>
      </c>
    </row>
    <row r="4">
      <c r="A4" t="inlineStr">
        <is>
          <t>Fiscal year</t>
        </is>
      </c>
      <c r="B4" t="inlineStr">
        <is>
          <t>Closing headcount</t>
        </is>
      </c>
    </row>
    <row r="5">
      <c r="A5" t="inlineStr">
        <is>
          <t>FY2026</t>
        </is>
      </c>
      <c r="B5">
        <f>'FY2026 Plan'!E7</f>
        <v/>
      </c>
    </row>
    <row r="6">
      <c r="A6" t="inlineStr">
        <is>
          <t>FY2027</t>
        </is>
      </c>
      <c r="B6">
        <f>'FY2027 Plan'!E7</f>
        <v/>
      </c>
    </row>
    <row r="7">
      <c r="A7" t="inlineStr">
        <is>
          <t>FY2028</t>
        </is>
      </c>
      <c r="B7">
        <f>'FY2028 Outlook'!E7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FY2026 staffing plan</t>
        </is>
      </c>
    </row>
    <row r="2">
      <c r="A2" s="1" t="inlineStr">
        <is>
          <t>Region</t>
        </is>
      </c>
      <c r="B2" s="1" t="inlineStr">
        <is>
          <t>Opening headcount</t>
        </is>
      </c>
      <c r="C2" s="1" t="inlineStr">
        <is>
          <t>Planned hires</t>
        </is>
      </c>
      <c r="D2" s="1" t="inlineStr">
        <is>
          <t>Expected departures</t>
        </is>
      </c>
      <c r="E2" s="1" t="inlineStr">
        <is>
          <t>Closing headcount</t>
        </is>
      </c>
    </row>
    <row r="3">
      <c r="A3" t="inlineStr">
        <is>
          <t>AMER</t>
        </is>
      </c>
      <c r="B3" t="n">
        <v>110</v>
      </c>
      <c r="C3" s="2" t="n">
        <v>12</v>
      </c>
      <c r="D3" t="n">
        <v>5</v>
      </c>
      <c r="E3">
        <f>B3+C3-D3</f>
        <v/>
      </c>
    </row>
    <row r="4">
      <c r="A4" t="inlineStr">
        <is>
          <t>EMEA</t>
        </is>
      </c>
      <c r="B4" t="n">
        <v>75</v>
      </c>
      <c r="C4" s="2" t="n">
        <v>8</v>
      </c>
      <c r="D4" t="n">
        <v>3</v>
      </c>
      <c r="E4">
        <f>B4+C4-D4</f>
        <v/>
      </c>
    </row>
    <row r="5">
      <c r="A5" t="inlineStr">
        <is>
          <t>APAC</t>
        </is>
      </c>
      <c r="B5" t="n">
        <v>50</v>
      </c>
      <c r="C5" s="2" t="n">
        <v>6</v>
      </c>
      <c r="D5" t="n">
        <v>2</v>
      </c>
      <c r="E5">
        <f>B5+C5-D5</f>
        <v/>
      </c>
    </row>
    <row r="6">
      <c r="A6" t="inlineStr">
        <is>
          <t>LATAM</t>
        </is>
      </c>
      <c r="B6" t="n">
        <v>30</v>
      </c>
      <c r="C6" s="2" t="n">
        <v>4</v>
      </c>
      <c r="D6" t="n">
        <v>1</v>
      </c>
      <c r="E6">
        <f>B6+C6-D6</f>
        <v/>
      </c>
    </row>
    <row r="7">
      <c r="A7" t="inlineStr">
        <is>
          <t>Total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FY2027 staffing plan</t>
        </is>
      </c>
    </row>
    <row r="2">
      <c r="A2" s="1" t="inlineStr">
        <is>
          <t>Region</t>
        </is>
      </c>
      <c r="B2" s="1" t="inlineStr">
        <is>
          <t>Opening headcount</t>
        </is>
      </c>
      <c r="C2" s="1" t="inlineStr">
        <is>
          <t>Planned hires</t>
        </is>
      </c>
      <c r="D2" s="1" t="inlineStr">
        <is>
          <t>Expected departures</t>
        </is>
      </c>
      <c r="E2" s="1" t="inlineStr">
        <is>
          <t>Closing headcount</t>
        </is>
      </c>
    </row>
    <row r="3">
      <c r="A3" t="inlineStr">
        <is>
          <t>AMER</t>
        </is>
      </c>
      <c r="B3" t="n">
        <v>110</v>
      </c>
      <c r="C3" s="2" t="n">
        <v>18</v>
      </c>
      <c r="D3" t="n">
        <v>5</v>
      </c>
      <c r="E3">
        <f>B3+C3-D3</f>
        <v/>
      </c>
    </row>
    <row r="4">
      <c r="A4" t="inlineStr">
        <is>
          <t>EMEA</t>
        </is>
      </c>
      <c r="B4" t="n">
        <v>75</v>
      </c>
      <c r="C4" s="2" t="n">
        <v>10</v>
      </c>
      <c r="D4" t="n">
        <v>3</v>
      </c>
      <c r="E4">
        <f>B4+C4-D4</f>
        <v/>
      </c>
    </row>
    <row r="5">
      <c r="A5" t="inlineStr">
        <is>
          <t>APAC</t>
        </is>
      </c>
      <c r="B5" t="n">
        <v>50</v>
      </c>
      <c r="C5" s="2" t="n">
        <v>9</v>
      </c>
      <c r="D5" t="n">
        <v>2</v>
      </c>
      <c r="E5">
        <f>B5+C5-D5</f>
        <v/>
      </c>
    </row>
    <row r="6">
      <c r="A6" t="inlineStr">
        <is>
          <t>LATAM</t>
        </is>
      </c>
      <c r="B6" t="n">
        <v>30</v>
      </c>
      <c r="C6" s="2" t="n">
        <v>5</v>
      </c>
      <c r="D6" t="n">
        <v>1</v>
      </c>
      <c r="E6">
        <f>B6+C6-D6</f>
        <v/>
      </c>
    </row>
    <row r="7">
      <c r="A7" t="inlineStr">
        <is>
          <t>Total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FY2028 staffing plan</t>
        </is>
      </c>
    </row>
    <row r="2">
      <c r="A2" s="1" t="inlineStr">
        <is>
          <t>Region</t>
        </is>
      </c>
      <c r="B2" s="1" t="inlineStr">
        <is>
          <t>Opening headcount</t>
        </is>
      </c>
      <c r="C2" s="1" t="inlineStr">
        <is>
          <t>Planned hires</t>
        </is>
      </c>
      <c r="D2" s="1" t="inlineStr">
        <is>
          <t>Expected departures</t>
        </is>
      </c>
      <c r="E2" s="1" t="inlineStr">
        <is>
          <t>Closing headcount</t>
        </is>
      </c>
    </row>
    <row r="3">
      <c r="A3" t="inlineStr">
        <is>
          <t>AMER</t>
        </is>
      </c>
      <c r="B3" t="n">
        <v>110</v>
      </c>
      <c r="C3" s="2" t="n">
        <v>20</v>
      </c>
      <c r="D3" t="n">
        <v>5</v>
      </c>
      <c r="E3">
        <f>B3+C3-D3</f>
        <v/>
      </c>
    </row>
    <row r="4">
      <c r="A4" t="inlineStr">
        <is>
          <t>EMEA</t>
        </is>
      </c>
      <c r="B4" t="n">
        <v>75</v>
      </c>
      <c r="C4" s="2" t="n">
        <v>12</v>
      </c>
      <c r="D4" t="n">
        <v>3</v>
      </c>
      <c r="E4">
        <f>B4+C4-D4</f>
        <v/>
      </c>
    </row>
    <row r="5">
      <c r="A5" t="inlineStr">
        <is>
          <t>APAC</t>
        </is>
      </c>
      <c r="B5" t="n">
        <v>50</v>
      </c>
      <c r="C5" s="2" t="n">
        <v>11</v>
      </c>
      <c r="D5" t="n">
        <v>2</v>
      </c>
      <c r="E5">
        <f>B5+C5-D5</f>
        <v/>
      </c>
    </row>
    <row r="6">
      <c r="A6" t="inlineStr">
        <is>
          <t>LATAM</t>
        </is>
      </c>
      <c r="B6" t="n">
        <v>30</v>
      </c>
      <c r="C6" s="2" t="n">
        <v>6</v>
      </c>
      <c r="D6" t="n">
        <v>1</v>
      </c>
      <c r="E6">
        <f>B6+C6-D6</f>
        <v/>
      </c>
    </row>
    <row r="7">
      <c r="A7" t="inlineStr">
        <is>
          <t>Total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Annual fully loaded cost per hire</t>
        </is>
      </c>
    </row>
    <row r="2">
      <c r="A2" t="inlineStr">
        <is>
          <t>AMER</t>
        </is>
      </c>
      <c r="B2" t="n">
        <v>130000</v>
      </c>
    </row>
    <row r="3">
      <c r="A3" t="inlineStr">
        <is>
          <t>EMEA</t>
        </is>
      </c>
      <c r="B3" t="n">
        <v>105000</v>
      </c>
    </row>
    <row r="4">
      <c r="A4" t="inlineStr">
        <is>
          <t>APAC</t>
        </is>
      </c>
      <c r="B4" t="n">
        <v>85000</v>
      </c>
    </row>
    <row r="5">
      <c r="A5" t="inlineStr">
        <is>
          <t>LATAM</t>
        </is>
      </c>
      <c r="B5" t="n">
        <v>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conventions</t>
        </is>
      </c>
      <c r="B1" t="inlineStr">
        <is>
          <t>Value</t>
        </is>
      </c>
    </row>
    <row r="2">
      <c r="A2" t="inlineStr">
        <is>
          <t>Fiscal year</t>
        </is>
      </c>
      <c r="B2" t="inlineStr">
        <is>
          <t>January–December</t>
        </is>
      </c>
    </row>
    <row r="3">
      <c r="A3" t="inlineStr">
        <is>
          <t>Hiring measure</t>
        </is>
      </c>
      <c r="B3" t="inlineStr">
        <is>
          <t>Approved new hires, excluding internal transfers</t>
        </is>
      </c>
    </row>
    <row r="4">
      <c r="A4" t="inlineStr">
        <is>
          <t>Plan owner</t>
        </is>
      </c>
      <c r="B4" t="inlineStr">
        <is>
          <t>People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